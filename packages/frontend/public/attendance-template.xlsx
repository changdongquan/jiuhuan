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/>
  <mc:AlternateContent xmlns:mc="http://schemas.openxmlformats.org/markup-compatibility/2006">
    <mc:Choice Requires="x15">
      <x15ac:absPath xmlns:x15ac="http://schemas.microsoft.com/office/spreadsheetml/2010/11/ac" url="/Users/changun/Desktop/"/>
    </mc:Choice>
  </mc:AlternateContent>
  <xr:revisionPtr revIDLastSave="0" documentId="8_{85526361-3675-2643-89A8-BA8430A3A956}" xr6:coauthVersionLast="47" xr6:coauthVersionMax="47" xr10:uidLastSave="{00000000-0000-0000-0000-000000000000}"/>
  <bookViews>
    <workbookView xWindow="0" yWindow="23660" windowWidth="25600" windowHeight="14240" xr2:uid="{00000000-000D-0000-FFFF-FFFF00000000}"/>
  </bookViews>
  <sheets>
    <sheet name="考勤统计表" sheetId="1" r:id="rId1"/>
  </sheets>
  <definedNames>
    <definedName name="_xlnm._FilterDatabase" localSheetId="0" hidden="1">考勤统计表!$A$1:$S$23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L25" i="1"/>
  <c r="H24" i="1" l="1"/>
  <c r="F26" i="1" l="1"/>
  <c r="J26" i="1"/>
  <c r="L24" i="1"/>
  <c r="I26" i="1"/>
  <c r="H15" i="1"/>
  <c r="R26" i="1" l="1"/>
  <c r="Q26" i="1"/>
  <c r="P26" i="1"/>
  <c r="O26" i="1"/>
  <c r="N26" i="1"/>
  <c r="M26" i="1"/>
  <c r="K26" i="1"/>
  <c r="G26" i="1"/>
  <c r="L23" i="1"/>
  <c r="H23" i="1"/>
  <c r="L22" i="1"/>
  <c r="H22" i="1"/>
  <c r="L21" i="1"/>
  <c r="L20" i="1"/>
  <c r="H20" i="1"/>
  <c r="L19" i="1"/>
  <c r="H19" i="1"/>
  <c r="L18" i="1"/>
  <c r="L17" i="1"/>
  <c r="L16" i="1"/>
  <c r="L15" i="1"/>
  <c r="L14" i="1"/>
  <c r="L13" i="1"/>
  <c r="H13" i="1"/>
  <c r="L12" i="1"/>
  <c r="H12" i="1"/>
  <c r="L11" i="1"/>
  <c r="H11" i="1"/>
  <c r="L10" i="1"/>
  <c r="H10" i="1"/>
  <c r="L9" i="1"/>
  <c r="H9" i="1"/>
  <c r="L8" i="1"/>
  <c r="L7" i="1"/>
  <c r="H7" i="1"/>
  <c r="L6" i="1"/>
  <c r="L5" i="1"/>
  <c r="H5" i="1"/>
  <c r="L4" i="1"/>
  <c r="L3" i="1"/>
  <c r="L26" i="1" l="1"/>
  <c r="H26" i="1"/>
  <c r="S26" i="1"/>
</calcChain>
</file>

<file path=xl/sharedStrings.xml><?xml version="1.0" encoding="utf-8"?>
<sst xmlns="http://schemas.openxmlformats.org/spreadsheetml/2006/main" count="66" uniqueCount="46">
  <si>
    <t>序号</t>
  </si>
  <si>
    <t>姓名</t>
  </si>
  <si>
    <t>所属部门</t>
  </si>
  <si>
    <t>职级</t>
  </si>
  <si>
    <t>加班
时</t>
  </si>
  <si>
    <t>夜班
45/次</t>
  </si>
  <si>
    <t>加班
小计</t>
  </si>
  <si>
    <t>工龄
数</t>
  </si>
  <si>
    <t>全勤
费</t>
  </si>
  <si>
    <t>误餐
15/次</t>
  </si>
  <si>
    <t>补助
小计</t>
  </si>
  <si>
    <t>迟到
次</t>
  </si>
  <si>
    <t>新进及
事假时</t>
  </si>
  <si>
    <t>病假
时</t>
  </si>
  <si>
    <t>旷工
时</t>
  </si>
  <si>
    <t>卫生
费</t>
  </si>
  <si>
    <t>水电
费</t>
  </si>
  <si>
    <t>扣款
小计</t>
  </si>
  <si>
    <t>员工工号</t>
  </si>
  <si>
    <t>常冬泉</t>
  </si>
  <si>
    <t>综合部</t>
  </si>
  <si>
    <t>陈锴</t>
  </si>
  <si>
    <t>工程部</t>
  </si>
  <si>
    <t>程鹏</t>
  </si>
  <si>
    <t>模具部</t>
  </si>
  <si>
    <t>丁林节</t>
  </si>
  <si>
    <t>丁中寻</t>
  </si>
  <si>
    <t>方车生</t>
  </si>
  <si>
    <t>费维成</t>
  </si>
  <si>
    <t>付维世</t>
  </si>
  <si>
    <t>何润东</t>
  </si>
  <si>
    <t>李海波</t>
  </si>
  <si>
    <t>李元松</t>
  </si>
  <si>
    <t>欧阳志科</t>
  </si>
  <si>
    <t>潘孝超</t>
  </si>
  <si>
    <t>浦静</t>
  </si>
  <si>
    <t>汪瑞华</t>
  </si>
  <si>
    <t>王康</t>
  </si>
  <si>
    <t>王强祥</t>
  </si>
  <si>
    <t>吴修建</t>
  </si>
  <si>
    <t>张春</t>
  </si>
  <si>
    <t>张娟</t>
  </si>
  <si>
    <t>张晓龙</t>
  </si>
  <si>
    <t>筛 选 合 计</t>
  </si>
  <si>
    <t>王莉</t>
    <phoneticPr fontId="7" type="noConversion"/>
  </si>
  <si>
    <t>马超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</si>
</sst>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_ * #,##0_ ;_ * \-#,##0_ ;_ * &quot;-&quot;_ ;_ @_ "/>
    <numFmt numFmtId="177" formatCode="_ * #,##0.00_ ;_ * \-#,##0.00_ ;_ * &quot;-&quot;??_ ;_ @_ "/>
    <numFmt numFmtId="178" formatCode="_ * #,##0.0_ ;_ * \-#,##0.0_ ;_ * &quot;-&quot;?_ ;_ @_ "/>
  </numFmts>
  <fonts count="9">
    <font>
      <sz val="11"/>
      <color theme="1"/>
      <name val="宋体"/>
      <charset val="134"/>
      <scheme val="minor"/>
    </font>
    <font>
      <sz val="10"/>
      <name val="宋体"/>
      <family val="3"/>
      <charset val="134"/>
    </font>
    <font>
      <sz val="10"/>
      <name val="微软雅黑"/>
      <family val="2"/>
      <charset val="134"/>
    </font>
    <font>
      <b/>
      <sz val="20"/>
      <color rgb="FF156255"/>
      <name val="微软雅黑"/>
      <family val="2"/>
      <charset val="134"/>
    </font>
    <font>
      <b/>
      <sz val="10"/>
      <color theme="0"/>
      <name val="宋体"/>
      <family val="3"/>
      <charset val="134"/>
    </font>
    <font>
      <b/>
      <sz val="10"/>
      <color rgb="FF156255"/>
      <name val="宋体"/>
      <family val="3"/>
      <charset val="134"/>
    </font>
    <font>
      <sz val="10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15625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78" fontId="1" fillId="4" borderId="15" xfId="0" applyNumberFormat="1" applyFont="1" applyFill="1" applyBorder="1" applyAlignment="1">
      <alignment horizontal="center" vertical="center"/>
    </xf>
    <xf numFmtId="176" fontId="1" fillId="4" borderId="16" xfId="0" applyNumberFormat="1" applyFont="1" applyFill="1" applyBorder="1" applyAlignment="1">
      <alignment horizontal="center" vertical="center"/>
    </xf>
    <xf numFmtId="177" fontId="1" fillId="4" borderId="17" xfId="0" applyNumberFormat="1" applyFont="1" applyFill="1" applyBorder="1" applyAlignment="1">
      <alignment horizontal="center" vertical="center"/>
    </xf>
    <xf numFmtId="178" fontId="1" fillId="4" borderId="18" xfId="0" applyNumberFormat="1" applyFont="1" applyFill="1" applyBorder="1" applyAlignment="1">
      <alignment horizontal="center" vertical="center"/>
    </xf>
    <xf numFmtId="176" fontId="1" fillId="4" borderId="13" xfId="0" applyNumberFormat="1" applyFont="1" applyFill="1" applyBorder="1" applyAlignment="1">
      <alignment horizontal="center" vertical="center"/>
    </xf>
    <xf numFmtId="177" fontId="1" fillId="4" borderId="14" xfId="0" applyNumberFormat="1" applyFont="1" applyFill="1" applyBorder="1" applyAlignment="1">
      <alignment horizontal="center" vertical="center"/>
    </xf>
    <xf numFmtId="178" fontId="1" fillId="0" borderId="18" xfId="0" applyNumberFormat="1" applyFont="1" applyBorder="1" applyAlignment="1">
      <alignment horizontal="center" vertical="center"/>
    </xf>
    <xf numFmtId="176" fontId="1" fillId="0" borderId="13" xfId="0" applyNumberFormat="1" applyFont="1" applyBorder="1" applyAlignment="1">
      <alignment horizontal="center" vertical="center"/>
    </xf>
    <xf numFmtId="177" fontId="1" fillId="0" borderId="14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78" fontId="1" fillId="0" borderId="20" xfId="0" applyNumberFormat="1" applyFont="1" applyBorder="1" applyAlignment="1">
      <alignment horizontal="center" vertical="center"/>
    </xf>
    <xf numFmtId="176" fontId="1" fillId="0" borderId="19" xfId="0" applyNumberFormat="1" applyFont="1" applyBorder="1" applyAlignment="1">
      <alignment horizontal="center" vertical="center"/>
    </xf>
    <xf numFmtId="178" fontId="1" fillId="4" borderId="20" xfId="0" applyNumberFormat="1" applyFont="1" applyFill="1" applyBorder="1" applyAlignment="1">
      <alignment horizontal="center" vertical="center"/>
    </xf>
    <xf numFmtId="176" fontId="1" fillId="4" borderId="19" xfId="0" applyNumberFormat="1" applyFont="1" applyFill="1" applyBorder="1" applyAlignment="1">
      <alignment horizontal="center" vertical="center"/>
    </xf>
    <xf numFmtId="178" fontId="1" fillId="6" borderId="24" xfId="0" applyNumberFormat="1" applyFont="1" applyFill="1" applyBorder="1" applyAlignment="1">
      <alignment horizontal="center" vertical="center"/>
    </xf>
    <xf numFmtId="176" fontId="1" fillId="6" borderId="24" xfId="0" applyNumberFormat="1" applyFont="1" applyFill="1" applyBorder="1" applyAlignment="1">
      <alignment horizontal="center" vertical="center"/>
    </xf>
    <xf numFmtId="177" fontId="1" fillId="6" borderId="25" xfId="0" applyNumberFormat="1" applyFont="1" applyFill="1" applyBorder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8" fontId="1" fillId="0" borderId="13" xfId="0" applyNumberFormat="1" applyFont="1" applyBorder="1" applyAlignment="1">
      <alignment horizontal="center" vertical="center"/>
    </xf>
    <xf numFmtId="176" fontId="1" fillId="9" borderId="13" xfId="0" applyNumberFormat="1" applyFont="1" applyFill="1" applyBorder="1" applyAlignment="1">
      <alignment horizontal="center" vertical="center"/>
    </xf>
    <xf numFmtId="176" fontId="1" fillId="0" borderId="18" xfId="0" applyNumberFormat="1" applyFont="1" applyBorder="1" applyAlignment="1">
      <alignment horizontal="center" vertical="center"/>
    </xf>
    <xf numFmtId="176" fontId="6" fillId="0" borderId="18" xfId="0" applyNumberFormat="1" applyFont="1" applyBorder="1" applyAlignment="1">
      <alignment horizontal="center" vertical="center"/>
    </xf>
    <xf numFmtId="178" fontId="1" fillId="0" borderId="19" xfId="0" applyNumberFormat="1" applyFont="1" applyBorder="1" applyAlignment="1">
      <alignment horizontal="center" vertical="center"/>
    </xf>
    <xf numFmtId="176" fontId="1" fillId="9" borderId="19" xfId="0" applyNumberFormat="1" applyFont="1" applyFill="1" applyBorder="1" applyAlignment="1">
      <alignment horizontal="center" vertical="center"/>
    </xf>
    <xf numFmtId="176" fontId="1" fillId="7" borderId="23" xfId="0" applyNumberFormat="1" applyFont="1" applyFill="1" applyBorder="1" applyAlignment="1">
      <alignment horizontal="center" vertical="center"/>
    </xf>
    <xf numFmtId="177" fontId="1" fillId="7" borderId="25" xfId="0" applyNumberFormat="1" applyFont="1" applyFill="1" applyBorder="1" applyAlignment="1">
      <alignment horizontal="center" vertical="center"/>
    </xf>
    <xf numFmtId="176" fontId="1" fillId="8" borderId="23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177" fontId="1" fillId="0" borderId="13" xfId="0" applyNumberFormat="1" applyFont="1" applyBorder="1" applyAlignment="1">
      <alignment horizontal="center" vertical="center"/>
    </xf>
    <xf numFmtId="177" fontId="1" fillId="0" borderId="19" xfId="0" applyNumberFormat="1" applyFont="1" applyBorder="1" applyAlignment="1">
      <alignment horizontal="center" vertical="center"/>
    </xf>
    <xf numFmtId="177" fontId="1" fillId="8" borderId="23" xfId="0" applyNumberFormat="1" applyFont="1" applyFill="1" applyBorder="1" applyAlignment="1">
      <alignment horizontal="center" vertical="center"/>
    </xf>
    <xf numFmtId="177" fontId="1" fillId="8" borderId="27" xfId="0" applyNumberFormat="1" applyFont="1" applyFill="1" applyBorder="1" applyAlignment="1">
      <alignment horizontal="center" vertical="center"/>
    </xf>
    <xf numFmtId="0" fontId="8" fillId="10" borderId="13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49" fontId="4" fillId="8" borderId="4" xfId="0" applyNumberFormat="1" applyFont="1" applyFill="1" applyBorder="1" applyAlignment="1">
      <alignment horizontal="center" vertical="center" wrapText="1"/>
    </xf>
    <xf numFmtId="49" fontId="4" fillId="8" borderId="16" xfId="0" applyNumberFormat="1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17" xfId="0" applyFont="1" applyFill="1" applyBorder="1" applyAlignment="1">
      <alignment horizontal="center" vertical="center" wrapText="1"/>
    </xf>
    <xf numFmtId="49" fontId="4" fillId="7" borderId="4" xfId="0" applyNumberFormat="1" applyFont="1" applyFill="1" applyBorder="1" applyAlignment="1">
      <alignment horizontal="center" vertical="center" wrapText="1"/>
    </xf>
    <xf numFmtId="49" fontId="4" fillId="7" borderId="16" xfId="0" applyNumberFormat="1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center" vertical="center" wrapText="1"/>
    </xf>
    <xf numFmtId="0" fontId="4" fillId="8" borderId="26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49" fontId="4" fillId="7" borderId="26" xfId="0" applyNumberFormat="1" applyFont="1" applyFill="1" applyBorder="1" applyAlignment="1">
      <alignment horizontal="center" vertical="center" wrapText="1"/>
    </xf>
    <xf numFmtId="49" fontId="4" fillId="7" borderId="15" xfId="0" applyNumberFormat="1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2"/>
  <sheetViews>
    <sheetView showGridLines="0" tabSelected="1" workbookViewId="0">
      <selection activeCell="F36" sqref="F36"/>
    </sheetView>
  </sheetViews>
  <sheetFormatPr baseColWidth="10" defaultColWidth="9" defaultRowHeight="16" customHeight="1"/>
  <cols>
    <col min="1" max="1" width="4.83203125" style="3" customWidth="1"/>
    <col min="2" max="2" width="13.1640625" style="3" hidden="1" customWidth="1"/>
    <col min="3" max="4" width="8.5" style="3" customWidth="1"/>
    <col min="5" max="5" width="4.83203125" style="3" customWidth="1"/>
    <col min="6" max="6" width="9.83203125" style="3" customWidth="1"/>
    <col min="7" max="7" width="12.1640625" style="3" customWidth="1"/>
    <col min="8" max="8" width="12.5" style="3" customWidth="1"/>
    <col min="9" max="9" width="7.1640625" style="3" customWidth="1"/>
    <col min="10" max="10" width="7" style="3" customWidth="1"/>
    <col min="11" max="11" width="5.1640625" style="3" customWidth="1"/>
    <col min="12" max="12" width="9.83203125" style="4" customWidth="1"/>
    <col min="13" max="13" width="6.6640625" style="4" customWidth="1"/>
    <col min="14" max="14" width="8" style="4" customWidth="1"/>
    <col min="15" max="15" width="6.6640625" style="3" customWidth="1"/>
    <col min="16" max="17" width="4.83203125" style="3" customWidth="1"/>
    <col min="18" max="18" width="11.1640625" style="4" customWidth="1"/>
    <col min="19" max="19" width="10.6640625" style="4" customWidth="1"/>
    <col min="20" max="20" width="4" style="4" customWidth="1"/>
    <col min="21" max="16384" width="9" style="3"/>
  </cols>
  <sheetData>
    <row r="1" spans="1:20" ht="16" customHeight="1">
      <c r="A1" s="69" t="s">
        <v>0</v>
      </c>
      <c r="B1" s="5"/>
      <c r="C1" s="71" t="s">
        <v>1</v>
      </c>
      <c r="D1" s="71" t="s">
        <v>2</v>
      </c>
      <c r="E1" s="71" t="s">
        <v>3</v>
      </c>
      <c r="F1" s="58" t="s">
        <v>4</v>
      </c>
      <c r="G1" s="60" t="s">
        <v>5</v>
      </c>
      <c r="H1" s="62" t="s">
        <v>6</v>
      </c>
      <c r="I1" s="64" t="s">
        <v>7</v>
      </c>
      <c r="J1" s="52" t="s">
        <v>8</v>
      </c>
      <c r="K1" s="52" t="s">
        <v>9</v>
      </c>
      <c r="L1" s="54" t="s">
        <v>10</v>
      </c>
      <c r="M1" s="56" t="s">
        <v>11</v>
      </c>
      <c r="N1" s="48" t="s">
        <v>12</v>
      </c>
      <c r="O1" s="48" t="s">
        <v>13</v>
      </c>
      <c r="P1" s="48" t="s">
        <v>14</v>
      </c>
      <c r="Q1" s="48" t="s">
        <v>15</v>
      </c>
      <c r="R1" s="48" t="s">
        <v>16</v>
      </c>
      <c r="S1" s="50" t="s">
        <v>17</v>
      </c>
    </row>
    <row r="2" spans="1:20" ht="16" customHeight="1">
      <c r="A2" s="70"/>
      <c r="B2" s="6" t="s">
        <v>18</v>
      </c>
      <c r="C2" s="72"/>
      <c r="D2" s="72"/>
      <c r="E2" s="72"/>
      <c r="F2" s="59"/>
      <c r="G2" s="61"/>
      <c r="H2" s="63"/>
      <c r="I2" s="65"/>
      <c r="J2" s="53"/>
      <c r="K2" s="53"/>
      <c r="L2" s="55"/>
      <c r="M2" s="57"/>
      <c r="N2" s="49"/>
      <c r="O2" s="49"/>
      <c r="P2" s="49"/>
      <c r="Q2" s="49"/>
      <c r="R2" s="49"/>
      <c r="S2" s="51"/>
      <c r="T2" s="40"/>
    </row>
    <row r="3" spans="1:20" s="1" customFormat="1" ht="16" customHeight="1">
      <c r="A3" s="7">
        <v>1</v>
      </c>
      <c r="B3" s="8">
        <v>1</v>
      </c>
      <c r="C3" s="8" t="s">
        <v>19</v>
      </c>
      <c r="D3" s="8" t="s">
        <v>20</v>
      </c>
      <c r="E3" s="9"/>
      <c r="F3" s="10"/>
      <c r="G3" s="11"/>
      <c r="H3" s="12"/>
      <c r="I3" s="17"/>
      <c r="J3" s="17"/>
      <c r="K3" s="17"/>
      <c r="L3" s="18">
        <f t="shared" ref="L3:L25" si="0">I3*50+J3+K3*15</f>
        <v>0</v>
      </c>
      <c r="M3" s="17"/>
      <c r="N3" s="31"/>
      <c r="O3" s="31"/>
      <c r="P3" s="31"/>
      <c r="Q3" s="42"/>
      <c r="R3" s="42"/>
      <c r="S3" s="18"/>
      <c r="T3" s="41"/>
    </row>
    <row r="4" spans="1:20" s="2" customFormat="1" ht="16" customHeight="1">
      <c r="A4" s="7">
        <v>2</v>
      </c>
      <c r="B4" s="8">
        <v>179</v>
      </c>
      <c r="C4" s="8" t="s">
        <v>21</v>
      </c>
      <c r="D4" s="8" t="s">
        <v>22</v>
      </c>
      <c r="E4" s="9"/>
      <c r="F4" s="13"/>
      <c r="G4" s="14"/>
      <c r="H4" s="15"/>
      <c r="I4" s="32">
        <v>10</v>
      </c>
      <c r="J4" s="33">
        <v>50</v>
      </c>
      <c r="K4" s="17"/>
      <c r="L4" s="18">
        <f t="shared" si="0"/>
        <v>550</v>
      </c>
      <c r="M4" s="17"/>
      <c r="N4" s="31"/>
      <c r="O4" s="31"/>
      <c r="P4" s="31"/>
      <c r="Q4" s="42"/>
      <c r="R4" s="42"/>
      <c r="S4" s="18"/>
    </row>
    <row r="5" spans="1:20" s="1" customFormat="1" ht="16" customHeight="1">
      <c r="A5" s="7">
        <v>3</v>
      </c>
      <c r="B5" s="8">
        <v>207</v>
      </c>
      <c r="C5" s="8" t="s">
        <v>23</v>
      </c>
      <c r="D5" s="8" t="s">
        <v>24</v>
      </c>
      <c r="E5" s="9">
        <v>5</v>
      </c>
      <c r="F5" s="16">
        <v>155</v>
      </c>
      <c r="G5" s="17">
        <v>4</v>
      </c>
      <c r="H5" s="18">
        <f>ROUND(F5*25.96+G5*45,2)</f>
        <v>4203.8</v>
      </c>
      <c r="I5" s="17">
        <v>8</v>
      </c>
      <c r="J5" s="34">
        <v>50</v>
      </c>
      <c r="K5" s="17">
        <v>4</v>
      </c>
      <c r="L5" s="18">
        <f t="shared" si="0"/>
        <v>510</v>
      </c>
      <c r="M5" s="17"/>
      <c r="N5" s="31"/>
      <c r="O5" s="31"/>
      <c r="P5" s="31"/>
      <c r="Q5" s="42"/>
      <c r="R5" s="42"/>
      <c r="S5" s="18"/>
    </row>
    <row r="6" spans="1:20" s="1" customFormat="1" ht="16" customHeight="1">
      <c r="A6" s="7">
        <v>4</v>
      </c>
      <c r="B6" s="8">
        <v>270</v>
      </c>
      <c r="C6" s="19" t="s">
        <v>25</v>
      </c>
      <c r="D6" s="19" t="s">
        <v>24</v>
      </c>
      <c r="E6" s="9"/>
      <c r="F6" s="13"/>
      <c r="G6" s="14">
        <v>1</v>
      </c>
      <c r="H6" s="15"/>
      <c r="I6" s="17">
        <v>3</v>
      </c>
      <c r="J6" s="17">
        <v>50</v>
      </c>
      <c r="K6" s="17">
        <v>16</v>
      </c>
      <c r="L6" s="18">
        <f t="shared" si="0"/>
        <v>440</v>
      </c>
      <c r="M6" s="17"/>
      <c r="N6" s="31"/>
      <c r="O6" s="31"/>
      <c r="P6" s="31"/>
      <c r="Q6" s="42"/>
      <c r="R6" s="42"/>
      <c r="S6" s="18"/>
    </row>
    <row r="7" spans="1:20" s="1" customFormat="1" ht="16" customHeight="1">
      <c r="A7" s="7">
        <v>5</v>
      </c>
      <c r="B7" s="8">
        <v>19</v>
      </c>
      <c r="C7" s="8" t="s">
        <v>26</v>
      </c>
      <c r="D7" s="8" t="s">
        <v>24</v>
      </c>
      <c r="E7" s="47">
        <v>5</v>
      </c>
      <c r="F7" s="16">
        <v>119.5</v>
      </c>
      <c r="G7" s="17"/>
      <c r="H7" s="18">
        <f t="shared" ref="H7:H11" si="1">ROUND(F7*23.08+G7*45,2)</f>
        <v>2758.06</v>
      </c>
      <c r="I7" s="32">
        <v>10</v>
      </c>
      <c r="J7" s="34">
        <v>50</v>
      </c>
      <c r="K7" s="17"/>
      <c r="L7" s="18">
        <f t="shared" si="0"/>
        <v>550</v>
      </c>
      <c r="M7" s="17"/>
      <c r="N7" s="31"/>
      <c r="O7" s="31"/>
      <c r="P7" s="31"/>
      <c r="Q7" s="42"/>
      <c r="R7" s="42"/>
      <c r="S7" s="18"/>
    </row>
    <row r="8" spans="1:20" s="1" customFormat="1" ht="16" customHeight="1">
      <c r="A8" s="7">
        <v>6</v>
      </c>
      <c r="B8" s="8">
        <v>151</v>
      </c>
      <c r="C8" s="8" t="s">
        <v>27</v>
      </c>
      <c r="D8" s="8" t="s">
        <v>24</v>
      </c>
      <c r="E8" s="9"/>
      <c r="F8" s="13"/>
      <c r="G8" s="14"/>
      <c r="H8" s="15"/>
      <c r="I8" s="32">
        <v>10</v>
      </c>
      <c r="J8" s="33">
        <v>50</v>
      </c>
      <c r="K8" s="17"/>
      <c r="L8" s="18">
        <f t="shared" si="0"/>
        <v>550</v>
      </c>
      <c r="M8" s="17"/>
      <c r="N8" s="31"/>
      <c r="O8" s="31"/>
      <c r="P8" s="31"/>
      <c r="Q8" s="42"/>
      <c r="R8" s="42"/>
      <c r="S8" s="18"/>
    </row>
    <row r="9" spans="1:20" s="1" customFormat="1" ht="16" customHeight="1">
      <c r="A9" s="7">
        <v>7</v>
      </c>
      <c r="B9" s="8">
        <v>278</v>
      </c>
      <c r="C9" s="8" t="s">
        <v>28</v>
      </c>
      <c r="D9" s="8" t="s">
        <v>24</v>
      </c>
      <c r="E9" s="9">
        <v>6</v>
      </c>
      <c r="F9" s="16">
        <v>111.5</v>
      </c>
      <c r="G9" s="17">
        <v>12</v>
      </c>
      <c r="H9" s="18">
        <f t="shared" si="1"/>
        <v>3113.42</v>
      </c>
      <c r="I9" s="17">
        <v>3</v>
      </c>
      <c r="J9" s="34">
        <v>50</v>
      </c>
      <c r="K9" s="17">
        <v>1</v>
      </c>
      <c r="L9" s="18">
        <f t="shared" si="0"/>
        <v>215</v>
      </c>
      <c r="M9" s="17"/>
      <c r="N9" s="31"/>
      <c r="O9" s="31"/>
      <c r="P9" s="31"/>
      <c r="Q9" s="42"/>
      <c r="R9" s="42"/>
      <c r="S9" s="18"/>
    </row>
    <row r="10" spans="1:20" s="1" customFormat="1" ht="16" customHeight="1">
      <c r="A10" s="7">
        <v>8</v>
      </c>
      <c r="B10" s="8">
        <v>285</v>
      </c>
      <c r="C10" s="8" t="s">
        <v>29</v>
      </c>
      <c r="D10" s="8" t="s">
        <v>24</v>
      </c>
      <c r="E10" s="9">
        <v>5</v>
      </c>
      <c r="F10" s="16">
        <v>106</v>
      </c>
      <c r="G10" s="17">
        <v>13</v>
      </c>
      <c r="H10" s="18">
        <f>ROUND(F10*25.96+G10*45,2)</f>
        <v>3336.76</v>
      </c>
      <c r="I10" s="17">
        <v>2</v>
      </c>
      <c r="J10" s="34">
        <v>50</v>
      </c>
      <c r="K10" s="17">
        <v>1</v>
      </c>
      <c r="L10" s="18">
        <f t="shared" si="0"/>
        <v>165</v>
      </c>
      <c r="M10" s="17"/>
      <c r="N10" s="31"/>
      <c r="O10" s="31"/>
      <c r="P10" s="31"/>
      <c r="Q10" s="42"/>
      <c r="R10" s="42"/>
      <c r="S10" s="18"/>
    </row>
    <row r="11" spans="1:20" s="1" customFormat="1" ht="16" customHeight="1">
      <c r="A11" s="7">
        <v>9</v>
      </c>
      <c r="B11" s="8">
        <v>239</v>
      </c>
      <c r="C11" s="8" t="s">
        <v>30</v>
      </c>
      <c r="D11" s="8" t="s">
        <v>24</v>
      </c>
      <c r="E11" s="9">
        <v>6</v>
      </c>
      <c r="F11" s="16">
        <v>57</v>
      </c>
      <c r="G11" s="17">
        <v>12</v>
      </c>
      <c r="H11" s="18">
        <f t="shared" si="1"/>
        <v>1855.56</v>
      </c>
      <c r="I11" s="17">
        <v>5</v>
      </c>
      <c r="J11" s="34">
        <v>50</v>
      </c>
      <c r="K11" s="17"/>
      <c r="L11" s="18">
        <f t="shared" si="0"/>
        <v>300</v>
      </c>
      <c r="M11" s="17"/>
      <c r="N11" s="31"/>
      <c r="O11" s="31"/>
      <c r="P11" s="31"/>
      <c r="Q11" s="42"/>
      <c r="R11" s="42"/>
      <c r="S11" s="18"/>
    </row>
    <row r="12" spans="1:20" s="1" customFormat="1" ht="16" customHeight="1">
      <c r="A12" s="7">
        <v>10</v>
      </c>
      <c r="B12" s="8">
        <v>155</v>
      </c>
      <c r="C12" s="8" t="s">
        <v>31</v>
      </c>
      <c r="D12" s="8" t="s">
        <v>24</v>
      </c>
      <c r="E12" s="9">
        <v>5</v>
      </c>
      <c r="F12" s="16">
        <v>114</v>
      </c>
      <c r="G12" s="17">
        <v>13</v>
      </c>
      <c r="H12" s="18">
        <f>ROUND(F12*25.96+G12*45,2)</f>
        <v>3544.44</v>
      </c>
      <c r="I12" s="17">
        <v>7</v>
      </c>
      <c r="J12" s="34">
        <v>50</v>
      </c>
      <c r="K12" s="17"/>
      <c r="L12" s="18">
        <f t="shared" si="0"/>
        <v>400</v>
      </c>
      <c r="M12" s="17"/>
      <c r="N12" s="31"/>
      <c r="O12" s="31"/>
      <c r="P12" s="31"/>
      <c r="Q12" s="42"/>
      <c r="R12" s="42"/>
      <c r="S12" s="18"/>
    </row>
    <row r="13" spans="1:20" s="1" customFormat="1" ht="16" customHeight="1">
      <c r="A13" s="7">
        <v>11</v>
      </c>
      <c r="B13" s="20"/>
      <c r="C13" s="20" t="s">
        <v>32</v>
      </c>
      <c r="D13" s="20" t="s">
        <v>24</v>
      </c>
      <c r="E13" s="9">
        <v>7</v>
      </c>
      <c r="F13" s="21">
        <v>44</v>
      </c>
      <c r="G13" s="22">
        <v>6</v>
      </c>
      <c r="H13" s="18">
        <f>ROUND(F13*20.19+G13*45,2)</f>
        <v>1158.3599999999999</v>
      </c>
      <c r="I13" s="22">
        <v>1</v>
      </c>
      <c r="J13" s="34"/>
      <c r="K13" s="22"/>
      <c r="L13" s="18">
        <f t="shared" si="0"/>
        <v>50</v>
      </c>
      <c r="M13" s="17"/>
      <c r="N13" s="31">
        <v>4</v>
      </c>
      <c r="O13" s="35"/>
      <c r="P13" s="35"/>
      <c r="Q13" s="43"/>
      <c r="R13" s="43"/>
      <c r="S13" s="18"/>
    </row>
    <row r="14" spans="1:20" s="1" customFormat="1" ht="16" customHeight="1">
      <c r="A14" s="7">
        <v>12</v>
      </c>
      <c r="B14" s="20">
        <v>291</v>
      </c>
      <c r="C14" s="20" t="s">
        <v>33</v>
      </c>
      <c r="D14" s="20" t="s">
        <v>22</v>
      </c>
      <c r="E14" s="9"/>
      <c r="F14" s="23"/>
      <c r="G14" s="24"/>
      <c r="H14" s="15"/>
      <c r="I14" s="36">
        <v>10</v>
      </c>
      <c r="J14" s="33">
        <v>50</v>
      </c>
      <c r="K14" s="22"/>
      <c r="L14" s="18">
        <f t="shared" si="0"/>
        <v>550</v>
      </c>
      <c r="M14" s="17"/>
      <c r="N14" s="31"/>
      <c r="O14" s="35"/>
      <c r="P14" s="35"/>
      <c r="Q14" s="43"/>
      <c r="R14" s="43"/>
      <c r="S14" s="18"/>
    </row>
    <row r="15" spans="1:20" s="1" customFormat="1" ht="16" customHeight="1">
      <c r="A15" s="7">
        <v>13</v>
      </c>
      <c r="B15" s="8">
        <v>70</v>
      </c>
      <c r="C15" s="8" t="s">
        <v>34</v>
      </c>
      <c r="D15" s="8" t="s">
        <v>24</v>
      </c>
      <c r="E15" s="9">
        <v>7</v>
      </c>
      <c r="F15" s="16">
        <v>88.5</v>
      </c>
      <c r="G15" s="17">
        <v>7</v>
      </c>
      <c r="H15" s="18">
        <f>ROUND(F15*20.19+G15*45,2)</f>
        <v>2101.8200000000002</v>
      </c>
      <c r="I15" s="17">
        <v>0</v>
      </c>
      <c r="J15" s="34">
        <v>50</v>
      </c>
      <c r="K15" s="17">
        <v>1</v>
      </c>
      <c r="L15" s="18">
        <f t="shared" si="0"/>
        <v>65</v>
      </c>
      <c r="M15" s="17"/>
      <c r="N15" s="31"/>
      <c r="O15" s="31"/>
      <c r="P15" s="31"/>
      <c r="Q15" s="42"/>
      <c r="R15" s="42"/>
      <c r="S15" s="18"/>
    </row>
    <row r="16" spans="1:20" s="1" customFormat="1" ht="16" customHeight="1">
      <c r="A16" s="7">
        <v>14</v>
      </c>
      <c r="B16" s="8">
        <v>236</v>
      </c>
      <c r="C16" s="8" t="s">
        <v>35</v>
      </c>
      <c r="D16" s="8" t="s">
        <v>24</v>
      </c>
      <c r="E16" s="9"/>
      <c r="F16" s="13"/>
      <c r="G16" s="14"/>
      <c r="H16" s="15"/>
      <c r="I16" s="17">
        <v>5</v>
      </c>
      <c r="J16" s="34">
        <v>50</v>
      </c>
      <c r="K16" s="17"/>
      <c r="L16" s="18">
        <f t="shared" si="0"/>
        <v>300</v>
      </c>
      <c r="M16" s="17"/>
      <c r="N16" s="31"/>
      <c r="O16" s="31"/>
      <c r="P16" s="31"/>
      <c r="Q16" s="42"/>
      <c r="R16" s="42"/>
      <c r="S16" s="18"/>
    </row>
    <row r="17" spans="1:19" s="1" customFormat="1" ht="16" customHeight="1">
      <c r="A17" s="7">
        <v>15</v>
      </c>
      <c r="B17" s="8">
        <v>276</v>
      </c>
      <c r="C17" s="8" t="s">
        <v>36</v>
      </c>
      <c r="D17" s="8" t="s">
        <v>20</v>
      </c>
      <c r="E17" s="9"/>
      <c r="F17" s="13"/>
      <c r="G17" s="14"/>
      <c r="H17" s="15"/>
      <c r="I17" s="34">
        <v>3</v>
      </c>
      <c r="J17" s="34">
        <v>50</v>
      </c>
      <c r="K17" s="17"/>
      <c r="L17" s="18">
        <f t="shared" si="0"/>
        <v>200</v>
      </c>
      <c r="M17" s="17"/>
      <c r="N17" s="31"/>
      <c r="O17" s="31"/>
      <c r="P17" s="31"/>
      <c r="Q17" s="42"/>
      <c r="R17" s="42"/>
      <c r="S17" s="18"/>
    </row>
    <row r="18" spans="1:19" s="1" customFormat="1" ht="16" customHeight="1">
      <c r="A18" s="7">
        <v>16</v>
      </c>
      <c r="B18" s="8">
        <v>116</v>
      </c>
      <c r="C18" s="8" t="s">
        <v>37</v>
      </c>
      <c r="D18" s="8" t="s">
        <v>24</v>
      </c>
      <c r="E18" s="9"/>
      <c r="F18" s="13"/>
      <c r="G18" s="14"/>
      <c r="H18" s="15"/>
      <c r="I18" s="17">
        <v>8</v>
      </c>
      <c r="J18" s="34">
        <v>50</v>
      </c>
      <c r="K18" s="17"/>
      <c r="L18" s="18">
        <f t="shared" si="0"/>
        <v>450</v>
      </c>
      <c r="M18" s="17"/>
      <c r="N18" s="31"/>
      <c r="O18" s="31"/>
      <c r="P18" s="31"/>
      <c r="Q18" s="42"/>
      <c r="R18" s="42"/>
      <c r="S18" s="18"/>
    </row>
    <row r="19" spans="1:19" s="1" customFormat="1" ht="16" customHeight="1">
      <c r="A19" s="7">
        <v>17</v>
      </c>
      <c r="B19" s="8">
        <v>283</v>
      </c>
      <c r="C19" s="8" t="s">
        <v>38</v>
      </c>
      <c r="D19" s="8" t="s">
        <v>24</v>
      </c>
      <c r="E19" s="47">
        <v>4</v>
      </c>
      <c r="F19" s="16">
        <v>94.5</v>
      </c>
      <c r="G19" s="17"/>
      <c r="H19" s="18">
        <f t="shared" ref="H19:H23" si="2">ROUND(F19*25.96+G19*45,2)</f>
        <v>2453.2199999999998</v>
      </c>
      <c r="I19" s="17">
        <v>10</v>
      </c>
      <c r="J19" s="34">
        <v>50</v>
      </c>
      <c r="K19" s="17"/>
      <c r="L19" s="18">
        <f t="shared" si="0"/>
        <v>550</v>
      </c>
      <c r="M19" s="17"/>
      <c r="N19" s="31"/>
      <c r="O19" s="31"/>
      <c r="P19" s="31"/>
      <c r="Q19" s="42"/>
      <c r="R19" s="42"/>
      <c r="S19" s="18"/>
    </row>
    <row r="20" spans="1:19" s="1" customFormat="1" ht="16" customHeight="1">
      <c r="A20" s="7">
        <v>18</v>
      </c>
      <c r="B20" s="8">
        <v>221</v>
      </c>
      <c r="C20" s="8" t="s">
        <v>39</v>
      </c>
      <c r="D20" s="8" t="s">
        <v>24</v>
      </c>
      <c r="E20" s="9">
        <v>5</v>
      </c>
      <c r="F20" s="16">
        <v>111.5</v>
      </c>
      <c r="G20" s="17">
        <v>11</v>
      </c>
      <c r="H20" s="18">
        <f t="shared" si="2"/>
        <v>3389.54</v>
      </c>
      <c r="I20" s="17">
        <v>6</v>
      </c>
      <c r="J20" s="34">
        <v>50</v>
      </c>
      <c r="K20" s="17">
        <v>2</v>
      </c>
      <c r="L20" s="18">
        <f t="shared" si="0"/>
        <v>380</v>
      </c>
      <c r="M20" s="17"/>
      <c r="N20" s="31"/>
      <c r="O20" s="31"/>
      <c r="P20" s="31"/>
      <c r="Q20" s="42"/>
      <c r="R20" s="42"/>
      <c r="S20" s="18"/>
    </row>
    <row r="21" spans="1:19" s="1" customFormat="1" ht="16" customHeight="1">
      <c r="A21" s="7">
        <v>20</v>
      </c>
      <c r="B21" s="8">
        <v>60</v>
      </c>
      <c r="C21" s="8" t="s">
        <v>40</v>
      </c>
      <c r="D21" s="8" t="s">
        <v>24</v>
      </c>
      <c r="E21" s="9"/>
      <c r="F21" s="13"/>
      <c r="G21" s="14"/>
      <c r="H21" s="15"/>
      <c r="I21" s="32">
        <v>10</v>
      </c>
      <c r="J21" s="33">
        <v>50</v>
      </c>
      <c r="K21" s="17"/>
      <c r="L21" s="18">
        <f t="shared" si="0"/>
        <v>550</v>
      </c>
      <c r="M21" s="17"/>
      <c r="N21" s="31"/>
      <c r="O21" s="31"/>
      <c r="P21" s="31"/>
      <c r="Q21" s="42"/>
      <c r="R21" s="42"/>
      <c r="S21" s="18"/>
    </row>
    <row r="22" spans="1:19" s="1" customFormat="1" ht="16" customHeight="1">
      <c r="A22" s="7">
        <v>21</v>
      </c>
      <c r="B22" s="8">
        <v>160</v>
      </c>
      <c r="C22" s="8" t="s">
        <v>41</v>
      </c>
      <c r="D22" s="8" t="s">
        <v>24</v>
      </c>
      <c r="E22" s="9">
        <v>6</v>
      </c>
      <c r="F22" s="16">
        <v>139</v>
      </c>
      <c r="G22" s="17"/>
      <c r="H22" s="18">
        <f>ROUND(F22*23.08+G22*45,2)</f>
        <v>3208.12</v>
      </c>
      <c r="I22" s="32">
        <v>10</v>
      </c>
      <c r="J22" s="34">
        <v>50</v>
      </c>
      <c r="K22" s="17">
        <v>4</v>
      </c>
      <c r="L22" s="18">
        <f t="shared" si="0"/>
        <v>610</v>
      </c>
      <c r="M22" s="17"/>
      <c r="N22" s="31"/>
      <c r="O22" s="31"/>
      <c r="P22" s="31"/>
      <c r="Q22" s="42"/>
      <c r="R22" s="42"/>
      <c r="S22" s="18"/>
    </row>
    <row r="23" spans="1:19" s="1" customFormat="1" ht="16" customHeight="1">
      <c r="A23" s="7">
        <v>22</v>
      </c>
      <c r="B23" s="8">
        <v>114</v>
      </c>
      <c r="C23" s="8" t="s">
        <v>42</v>
      </c>
      <c r="D23" s="8" t="s">
        <v>24</v>
      </c>
      <c r="E23" s="47">
        <v>4</v>
      </c>
      <c r="F23" s="16">
        <v>107.5</v>
      </c>
      <c r="G23" s="17"/>
      <c r="H23" s="18">
        <f t="shared" si="2"/>
        <v>2790.7</v>
      </c>
      <c r="I23" s="32">
        <v>10</v>
      </c>
      <c r="J23" s="34">
        <v>50</v>
      </c>
      <c r="K23" s="17"/>
      <c r="L23" s="18">
        <f t="shared" si="0"/>
        <v>550</v>
      </c>
      <c r="M23" s="17"/>
      <c r="N23" s="31"/>
      <c r="O23" s="31"/>
      <c r="P23" s="31"/>
      <c r="Q23" s="42"/>
      <c r="R23" s="42"/>
      <c r="S23" s="18"/>
    </row>
    <row r="24" spans="1:19" s="1" customFormat="1" ht="16" customHeight="1">
      <c r="A24" s="7">
        <v>23</v>
      </c>
      <c r="B24" s="8"/>
      <c r="C24" s="46" t="s">
        <v>44</v>
      </c>
      <c r="D24" s="8" t="s">
        <v>24</v>
      </c>
      <c r="E24" s="47">
        <v>8</v>
      </c>
      <c r="F24" s="16">
        <v>38</v>
      </c>
      <c r="G24" s="17"/>
      <c r="H24" s="18">
        <f>ROUND(F24*14.85+G24*45,2)</f>
        <v>564.29999999999995</v>
      </c>
      <c r="I24" s="32">
        <v>0</v>
      </c>
      <c r="J24" s="34">
        <v>50</v>
      </c>
      <c r="K24" s="17">
        <v>1</v>
      </c>
      <c r="L24" s="18">
        <f t="shared" si="0"/>
        <v>65</v>
      </c>
      <c r="M24" s="17"/>
      <c r="N24" s="31"/>
      <c r="O24" s="31"/>
      <c r="P24" s="31"/>
      <c r="Q24" s="42"/>
      <c r="R24" s="42"/>
      <c r="S24" s="18"/>
    </row>
    <row r="25" spans="1:19" s="1" customFormat="1" ht="16" customHeight="1">
      <c r="A25" s="7">
        <v>24</v>
      </c>
      <c r="B25" s="8"/>
      <c r="C25" s="46" t="s">
        <v>45</v>
      </c>
      <c r="D25" s="8" t="s">
        <v>24</v>
      </c>
      <c r="E25" s="9">
        <v>8</v>
      </c>
      <c r="F25" s="16">
        <v>62.5</v>
      </c>
      <c r="G25" s="17">
        <v>10</v>
      </c>
      <c r="H25" s="18">
        <f>ROUND(F25*17.3+G25*45,2)</f>
        <v>1531.25</v>
      </c>
      <c r="I25" s="32">
        <v>0</v>
      </c>
      <c r="J25" s="34">
        <v>50</v>
      </c>
      <c r="K25" s="17">
        <v>2</v>
      </c>
      <c r="L25" s="18">
        <f t="shared" si="0"/>
        <v>80</v>
      </c>
      <c r="M25" s="17"/>
      <c r="N25" s="31"/>
      <c r="O25" s="31"/>
      <c r="P25" s="31"/>
      <c r="Q25" s="42"/>
      <c r="R25" s="42"/>
      <c r="S25" s="18"/>
    </row>
    <row r="26" spans="1:19" s="1" customFormat="1" ht="16" customHeight="1">
      <c r="A26" s="66" t="s">
        <v>43</v>
      </c>
      <c r="B26" s="67"/>
      <c r="C26" s="67"/>
      <c r="D26" s="67"/>
      <c r="E26" s="68"/>
      <c r="F26" s="25">
        <f>SUBTOTAL(9,F3:F25)</f>
        <v>1348.5</v>
      </c>
      <c r="G26" s="26">
        <f t="shared" ref="G26:S26" si="3">SUBTOTAL(9,G3:G23)</f>
        <v>79</v>
      </c>
      <c r="H26" s="27">
        <f t="shared" si="3"/>
        <v>33913.800000000003</v>
      </c>
      <c r="I26" s="37">
        <f>SUBTOTAL(9,I3:I25)</f>
        <v>131</v>
      </c>
      <c r="J26" s="37">
        <f>SUBTOTAL(9,J3:J25)</f>
        <v>1050</v>
      </c>
      <c r="K26" s="37">
        <f t="shared" si="3"/>
        <v>29</v>
      </c>
      <c r="L26" s="38">
        <f t="shared" si="3"/>
        <v>7935</v>
      </c>
      <c r="M26" s="39">
        <f t="shared" si="3"/>
        <v>0</v>
      </c>
      <c r="N26" s="39">
        <f t="shared" si="3"/>
        <v>4</v>
      </c>
      <c r="O26" s="39">
        <f t="shared" si="3"/>
        <v>0</v>
      </c>
      <c r="P26" s="39">
        <f t="shared" si="3"/>
        <v>0</v>
      </c>
      <c r="Q26" s="39">
        <f t="shared" si="3"/>
        <v>0</v>
      </c>
      <c r="R26" s="44">
        <f t="shared" si="3"/>
        <v>0</v>
      </c>
      <c r="S26" s="45">
        <f t="shared" si="3"/>
        <v>0</v>
      </c>
    </row>
    <row r="27" spans="1:19" s="1" customFormat="1" ht="16" customHeight="1">
      <c r="F27" s="28"/>
      <c r="G27" s="29"/>
      <c r="H27" s="30"/>
      <c r="I27" s="29"/>
      <c r="J27" s="29"/>
      <c r="K27" s="29"/>
      <c r="L27" s="30"/>
      <c r="M27" s="29"/>
      <c r="N27" s="29"/>
      <c r="O27" s="29"/>
      <c r="P27" s="29"/>
      <c r="Q27" s="29"/>
      <c r="R27" s="30"/>
      <c r="S27" s="30"/>
    </row>
    <row r="28" spans="1:19" s="1" customFormat="1" ht="16" customHeight="1"/>
    <row r="29" spans="1:19" s="1" customFormat="1" ht="16" customHeight="1"/>
    <row r="30" spans="1:19" s="1" customFormat="1" ht="16" customHeight="1"/>
    <row r="31" spans="1:19" s="1" customFormat="1" ht="16" customHeight="1"/>
    <row r="32" spans="1:19" s="1" customFormat="1" ht="16" customHeight="1"/>
    <row r="33" spans="1:20" s="1" customFormat="1" ht="16" customHeight="1"/>
    <row r="34" spans="1:20" s="1" customFormat="1" ht="16" customHeight="1"/>
    <row r="35" spans="1:20" s="1" customFormat="1" ht="16" customHeight="1"/>
    <row r="36" spans="1:20" s="1" customFormat="1" ht="16" customHeight="1"/>
    <row r="37" spans="1:20" s="1" customFormat="1" ht="16" customHeight="1"/>
    <row r="38" spans="1:20" s="1" customFormat="1" ht="16" customHeight="1"/>
    <row r="39" spans="1:20" s="1" customFormat="1" ht="16" customHeight="1"/>
    <row r="40" spans="1:20" s="1" customFormat="1" ht="16" customHeight="1"/>
    <row r="41" spans="1:20" s="1" customFormat="1" ht="16" customHeight="1"/>
    <row r="42" spans="1:20" s="1" customFormat="1" ht="16" customHeight="1"/>
    <row r="43" spans="1:20" s="1" customFormat="1" ht="16" customHeight="1"/>
    <row r="44" spans="1:20" s="1" customFormat="1" ht="16" customHeight="1"/>
    <row r="45" spans="1:20" ht="16" customHeight="1">
      <c r="A45" s="4"/>
      <c r="L45" s="3"/>
      <c r="M45" s="3"/>
      <c r="N45" s="3"/>
      <c r="R45" s="3"/>
      <c r="S45" s="3"/>
      <c r="T45" s="3"/>
    </row>
    <row r="46" spans="1:20" ht="16" customHeight="1">
      <c r="A46" s="4"/>
      <c r="L46" s="3"/>
      <c r="M46" s="3"/>
      <c r="N46" s="3"/>
      <c r="R46" s="3"/>
      <c r="S46" s="3"/>
      <c r="T46" s="3"/>
    </row>
    <row r="47" spans="1:20" ht="16" customHeight="1">
      <c r="A47" s="4"/>
      <c r="L47" s="3"/>
      <c r="M47" s="3"/>
      <c r="N47" s="3"/>
      <c r="R47" s="3"/>
      <c r="S47" s="3"/>
      <c r="T47" s="3"/>
    </row>
    <row r="48" spans="1:20" ht="16" customHeight="1">
      <c r="A48" s="4"/>
      <c r="L48" s="3"/>
      <c r="M48" s="3"/>
      <c r="N48" s="3"/>
      <c r="R48" s="3"/>
      <c r="S48" s="3"/>
      <c r="T48" s="3"/>
    </row>
    <row r="49" spans="1:20" ht="16" customHeight="1">
      <c r="A49" s="4"/>
      <c r="L49" s="3"/>
      <c r="M49" s="3"/>
      <c r="N49" s="3"/>
      <c r="R49" s="3"/>
      <c r="S49" s="3"/>
      <c r="T49" s="3"/>
    </row>
    <row r="50" spans="1:20" ht="16" customHeight="1">
      <c r="A50" s="4"/>
      <c r="L50" s="3"/>
      <c r="M50" s="3"/>
      <c r="N50" s="3"/>
      <c r="R50" s="3"/>
      <c r="S50" s="3"/>
      <c r="T50" s="3"/>
    </row>
    <row r="51" spans="1:20" ht="16" customHeight="1">
      <c r="A51" s="4"/>
      <c r="L51" s="3"/>
      <c r="M51" s="3"/>
      <c r="N51" s="3"/>
      <c r="R51" s="3"/>
      <c r="S51" s="3"/>
      <c r="T51" s="3"/>
    </row>
    <row r="52" spans="1:20" ht="16" customHeight="1">
      <c r="A52" s="4"/>
      <c r="L52" s="3"/>
      <c r="M52" s="3"/>
      <c r="N52" s="3"/>
      <c r="R52" s="3"/>
      <c r="S52" s="3"/>
      <c r="T52" s="3"/>
    </row>
    <row r="53" spans="1:20" ht="16" customHeight="1">
      <c r="A53" s="4"/>
      <c r="L53" s="3"/>
      <c r="M53" s="3"/>
      <c r="N53" s="3"/>
      <c r="R53" s="3"/>
      <c r="S53" s="3"/>
      <c r="T53" s="3"/>
    </row>
    <row r="54" spans="1:20" ht="16" customHeight="1">
      <c r="A54" s="4"/>
      <c r="L54" s="3"/>
      <c r="M54" s="3"/>
      <c r="N54" s="3"/>
      <c r="R54" s="3"/>
      <c r="S54" s="3"/>
      <c r="T54" s="3"/>
    </row>
    <row r="55" spans="1:20" ht="16" customHeight="1">
      <c r="A55" s="4"/>
      <c r="L55" s="3"/>
      <c r="M55" s="3"/>
      <c r="N55" s="3"/>
      <c r="R55" s="3"/>
      <c r="S55" s="3"/>
      <c r="T55" s="3"/>
    </row>
    <row r="56" spans="1:20" ht="16" customHeight="1">
      <c r="A56" s="4"/>
      <c r="L56" s="3"/>
      <c r="M56" s="3"/>
      <c r="N56" s="3"/>
      <c r="R56" s="3"/>
      <c r="S56" s="3"/>
      <c r="T56" s="3"/>
    </row>
    <row r="57" spans="1:20" ht="16" customHeight="1">
      <c r="A57" s="4"/>
      <c r="L57" s="3"/>
      <c r="M57" s="3"/>
      <c r="N57" s="3"/>
      <c r="R57" s="3"/>
      <c r="S57" s="3"/>
      <c r="T57" s="3"/>
    </row>
    <row r="58" spans="1:20" ht="16" customHeight="1">
      <c r="A58" s="4"/>
      <c r="L58" s="3"/>
      <c r="M58" s="3"/>
      <c r="N58" s="3"/>
      <c r="R58" s="3"/>
      <c r="S58" s="3"/>
      <c r="T58" s="3"/>
    </row>
    <row r="59" spans="1:20" ht="16" customHeight="1">
      <c r="A59" s="4"/>
      <c r="L59" s="3"/>
      <c r="M59" s="3"/>
      <c r="N59" s="3"/>
      <c r="R59" s="3"/>
      <c r="S59" s="3"/>
      <c r="T59" s="3"/>
    </row>
    <row r="60" spans="1:20" ht="16" customHeight="1">
      <c r="A60" s="4"/>
      <c r="L60" s="3"/>
      <c r="M60" s="3"/>
      <c r="N60" s="3"/>
      <c r="R60" s="3"/>
      <c r="S60" s="3"/>
      <c r="T60" s="3"/>
    </row>
    <row r="61" spans="1:20" ht="16" customHeight="1">
      <c r="A61" s="4"/>
      <c r="L61" s="3"/>
      <c r="M61" s="3"/>
      <c r="N61" s="3"/>
      <c r="R61" s="3"/>
      <c r="S61" s="3"/>
      <c r="T61" s="3"/>
    </row>
    <row r="62" spans="1:20" ht="16" customHeight="1">
      <c r="A62" s="4"/>
      <c r="L62" s="3"/>
      <c r="M62" s="3"/>
      <c r="N62" s="3"/>
      <c r="R62" s="3"/>
      <c r="S62" s="3"/>
      <c r="T62" s="3"/>
    </row>
  </sheetData>
  <mergeCells count="19">
    <mergeCell ref="A26:E26"/>
    <mergeCell ref="A1:A2"/>
    <mergeCell ref="C1:C2"/>
    <mergeCell ref="D1:D2"/>
    <mergeCell ref="E1:E2"/>
    <mergeCell ref="P1:P2"/>
    <mergeCell ref="Q1:Q2"/>
    <mergeCell ref="R1:R2"/>
    <mergeCell ref="S1:S2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</mergeCells>
  <phoneticPr fontId="7" type="noConversion"/>
  <dataValidations count="1">
    <dataValidation type="custom" allowBlank="1" showInputMessage="1" showErrorMessage="1" errorTitle="输入错误" error="输入数据只支持数字。" sqref="I3:K25 M3:R25 F3:G25" xr:uid="{00000000-0002-0000-0000-000000000000}">
      <formula1>ISNUMBER(F3)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考勤统计表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OPT10</dc:creator>
  <cp:lastModifiedBy>常冬泉</cp:lastModifiedBy>
  <dcterms:created xsi:type="dcterms:W3CDTF">2025-09-03T01:16:59Z</dcterms:created>
  <dcterms:modified xsi:type="dcterms:W3CDTF">2025-12-12T15:44:18Z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7315DBD1657448638A4FB1CAD2C2C45F_11</vt:lpwstr>
  </property>
  <property fmtid="{D5CDD505-2E9C-101B-9397-08002B2CF9AE}" pid="3" name="KSOProductBuildVer">
    <vt:lpwstr>2052-12.1.0.20784</vt:lpwstr>
  </property>
</Properties>
</file>