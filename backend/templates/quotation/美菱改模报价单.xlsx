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xr:revisionPtr revIDLastSave="0" documentId="8_{B1F9DEFA-BC42-3C49-A518-BDB0A41C8036}" xr6:coauthVersionLast="47" xr6:coauthVersionMax="47" xr10:uidLastSave="{00000000-0000-0000-0000-000000000000}"/>
  <bookViews>
    <workbookView xWindow="0" yWindow="0" windowWidth="28125" windowHeight="12240" xr2:uid="{00000000-000D-0000-FFFF-FFFF00000000}"/>
  </bookViews>
  <sheets>
    <sheet name="改模报价" sheetId="1" r:id="rId1"/>
  </sheets>
  <definedNames>
    <definedName name="_xlnm.Print_Area" localSheetId="0">改模报价!$A$1:$I$35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5" i="1"/>
  <c r="G16" i="1"/>
  <c r="G19" i="1"/>
  <c r="G21" i="1"/>
  <c r="I14" i="1"/>
  <c r="I8" i="1"/>
  <c r="G26" i="1"/>
</calcChain>
</file>

<file path=xl/sharedStrings.xml><?xml version="1.0" encoding="utf-8"?>
<sst xmlns="http://schemas.openxmlformats.org/spreadsheetml/2006/main" count="70" uniqueCount="66">
  <si>
    <t>长虹美菱股份有限公司(维修/更改类完工确认单）</t>
  </si>
  <si>
    <t>申报单位（全名）</t>
  </si>
  <si>
    <t>合肥市久环模具设备制造有限公司</t>
  </si>
  <si>
    <t>加工周期</t>
  </si>
  <si>
    <t>更改通知单号</t>
  </si>
  <si>
    <t>ZC_MJGG202509135</t>
  </si>
  <si>
    <t>加工零件名称</t>
  </si>
  <si>
    <t>B24102.1.1.10.2电器盒座</t>
  </si>
  <si>
    <t>模具编号</t>
  </si>
  <si>
    <t>ML01250166</t>
  </si>
  <si>
    <t>申请更改部门</t>
  </si>
  <si>
    <t>用户与产品中心</t>
  </si>
  <si>
    <t>申请更改人</t>
  </si>
  <si>
    <t>圣洁</t>
  </si>
  <si>
    <t>供应商报价</t>
  </si>
  <si>
    <t xml:space="preserve"> </t>
  </si>
  <si>
    <t>单位材料费</t>
  </si>
  <si>
    <t>材料名称</t>
  </si>
  <si>
    <t>单价</t>
  </si>
  <si>
    <t>用量</t>
  </si>
  <si>
    <t>费用</t>
  </si>
  <si>
    <t>总价</t>
  </si>
  <si>
    <t>紫铜电极</t>
  </si>
  <si>
    <t>配件</t>
  </si>
  <si>
    <t>加工费用</t>
  </si>
  <si>
    <t>加工形工/工种</t>
  </si>
  <si>
    <t>含税单价</t>
  </si>
  <si>
    <t>用时（H）</t>
  </si>
  <si>
    <t>合计费用</t>
  </si>
  <si>
    <t>数控</t>
  </si>
  <si>
    <t>35元/小时</t>
  </si>
  <si>
    <t>快速切割</t>
  </si>
  <si>
    <t>12元/小时</t>
  </si>
  <si>
    <t>中丝切割</t>
  </si>
  <si>
    <t>30元/小时</t>
  </si>
  <si>
    <t>慢丝切割</t>
  </si>
  <si>
    <t>70元/小时</t>
  </si>
  <si>
    <t>CNC</t>
  </si>
  <si>
    <t>高速铣</t>
  </si>
  <si>
    <t>150元/小时</t>
  </si>
  <si>
    <t>电火花</t>
  </si>
  <si>
    <t>60元/小时</t>
  </si>
  <si>
    <t>龙门</t>
  </si>
  <si>
    <t>90元/小时</t>
  </si>
  <si>
    <t>钳工</t>
  </si>
  <si>
    <t>抛光</t>
  </si>
  <si>
    <t>40元/小时</t>
  </si>
  <si>
    <t>其他费用（焊、合模机、试模等）</t>
  </si>
  <si>
    <t>含税</t>
  </si>
  <si>
    <t>运输费用</t>
  </si>
  <si>
    <t>单价300元/吨</t>
  </si>
  <si>
    <t>合计来回运输费用</t>
  </si>
  <si>
    <t>加工数量</t>
  </si>
  <si>
    <t>含税价格</t>
  </si>
  <si>
    <t>美菱公司确认完工审核</t>
  </si>
  <si>
    <t>申请部门审核人员签字</t>
  </si>
  <si>
    <t xml:space="preserve">  年   月    日</t>
  </si>
  <si>
    <t>美菱公司价格审核</t>
  </si>
  <si>
    <t>单位加工费</t>
  </si>
  <si>
    <t>其他费用</t>
  </si>
  <si>
    <t>审核价格</t>
  </si>
  <si>
    <t>供方确认</t>
  </si>
  <si>
    <t>核价说明：</t>
  </si>
  <si>
    <t>供应链管理部</t>
  </si>
  <si>
    <t>用产工程院</t>
  </si>
  <si>
    <t>费用承担部门长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</si>
</sst>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0"/>
      <color rgb="FF000000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0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35"/>
  <sheetViews>
    <sheetView tabSelected="1" zoomScale="85" zoomScaleNormal="85" workbookViewId="0">
      <selection activeCell="K5" sqref="K5"/>
    </sheetView>
  </sheetViews>
  <sheetFormatPr defaultColWidth="9.01171875" defaultRowHeight="15" x14ac:dyDescent="0.2"/>
  <cols>
    <col min="1" max="1" width="8.33984375" customWidth="1"/>
    <col min="2" max="2" width="6.45703125" customWidth="1"/>
    <col min="3" max="3" width="11.43359375" customWidth="1"/>
    <col min="4" max="4" width="8.875" customWidth="1"/>
    <col min="5" max="5" width="12.10546875" customWidth="1"/>
    <col min="6" max="6" width="12.64453125" customWidth="1"/>
    <col min="7" max="8" width="8.7421875" customWidth="1"/>
    <col min="9" max="9" width="13.71875" customWidth="1"/>
  </cols>
  <sheetData>
    <row r="1" spans="1:12" ht="30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10"/>
    </row>
    <row r="2" spans="1:12" ht="24.95" customHeight="1" x14ac:dyDescent="0.2">
      <c r="A2" s="11" t="s">
        <v>1</v>
      </c>
      <c r="B2" s="12"/>
      <c r="C2" s="13" t="s">
        <v>2</v>
      </c>
      <c r="D2" s="13"/>
      <c r="E2" s="13"/>
      <c r="F2" s="13"/>
      <c r="G2" s="13"/>
      <c r="H2" s="13"/>
      <c r="I2" s="14"/>
    </row>
    <row r="3" spans="1:12" ht="20.100000000000001" customHeight="1" x14ac:dyDescent="0.2">
      <c r="A3" s="11" t="s">
        <v>3</v>
      </c>
      <c r="B3" s="12"/>
      <c r="C3" s="15">
        <v>45926</v>
      </c>
      <c r="D3" s="15"/>
      <c r="E3" s="15"/>
      <c r="F3" s="2" t="s">
        <v>4</v>
      </c>
      <c r="G3" s="16" t="s">
        <v>5</v>
      </c>
      <c r="H3" s="17"/>
      <c r="I3" s="18"/>
    </row>
    <row r="4" spans="1:12" ht="54" customHeight="1" x14ac:dyDescent="0.2">
      <c r="A4" s="11" t="s">
        <v>6</v>
      </c>
      <c r="B4" s="12"/>
      <c r="C4" s="19" t="s">
        <v>7</v>
      </c>
      <c r="D4" s="20"/>
      <c r="E4" s="21"/>
      <c r="F4" s="1" t="s">
        <v>8</v>
      </c>
      <c r="G4" s="22" t="s">
        <v>9</v>
      </c>
      <c r="H4" s="23"/>
      <c r="I4" s="24"/>
    </row>
    <row r="5" spans="1:12" ht="19.899999999999999" customHeight="1" x14ac:dyDescent="0.2">
      <c r="A5" s="11" t="s">
        <v>10</v>
      </c>
      <c r="B5" s="12"/>
      <c r="C5" s="12" t="s">
        <v>11</v>
      </c>
      <c r="D5" s="12"/>
      <c r="E5" s="12"/>
      <c r="F5" s="1" t="s">
        <v>12</v>
      </c>
      <c r="G5" s="19" t="s">
        <v>13</v>
      </c>
      <c r="H5" s="20"/>
      <c r="I5" s="25"/>
    </row>
    <row r="6" spans="1:12" ht="19.899999999999999" customHeight="1" x14ac:dyDescent="0.2">
      <c r="A6" s="11" t="s">
        <v>14</v>
      </c>
      <c r="B6" s="12"/>
      <c r="C6" s="12"/>
      <c r="D6" s="12"/>
      <c r="E6" s="12"/>
      <c r="F6" s="12"/>
      <c r="G6" s="12"/>
      <c r="H6" s="12"/>
      <c r="I6" s="26"/>
      <c r="L6" s="7" t="s">
        <v>15</v>
      </c>
    </row>
    <row r="7" spans="1:12" ht="19.899999999999999" customHeight="1" x14ac:dyDescent="0.2">
      <c r="A7" s="11" t="s">
        <v>16</v>
      </c>
      <c r="B7" s="12"/>
      <c r="C7" s="12" t="s">
        <v>17</v>
      </c>
      <c r="D7" s="12"/>
      <c r="E7" s="1" t="s">
        <v>18</v>
      </c>
      <c r="F7" s="1" t="s">
        <v>19</v>
      </c>
      <c r="G7" s="12" t="s">
        <v>20</v>
      </c>
      <c r="H7" s="12"/>
      <c r="I7" s="6" t="s">
        <v>21</v>
      </c>
    </row>
    <row r="8" spans="1:12" ht="19.899999999999999" customHeight="1" x14ac:dyDescent="0.2">
      <c r="A8" s="11"/>
      <c r="B8" s="12"/>
      <c r="C8" s="27" t="s">
        <v>22</v>
      </c>
      <c r="D8" s="28"/>
      <c r="E8" s="1"/>
      <c r="F8" s="1"/>
      <c r="G8" s="12">
        <v>200</v>
      </c>
      <c r="H8" s="12"/>
      <c r="I8" s="26">
        <f>G8+G9+G10+G11+G12</f>
        <v>500</v>
      </c>
    </row>
    <row r="9" spans="1:12" ht="19.899999999999999" customHeight="1" x14ac:dyDescent="0.2">
      <c r="A9" s="11"/>
      <c r="B9" s="12"/>
      <c r="C9" s="12" t="s">
        <v>23</v>
      </c>
      <c r="D9" s="12"/>
      <c r="E9" s="1"/>
      <c r="F9" s="1"/>
      <c r="G9" s="12">
        <v>300</v>
      </c>
      <c r="H9" s="12"/>
      <c r="I9" s="26"/>
    </row>
    <row r="10" spans="1:12" ht="19.899999999999999" customHeight="1" x14ac:dyDescent="0.2">
      <c r="A10" s="11"/>
      <c r="B10" s="12"/>
      <c r="C10" s="29"/>
      <c r="D10" s="29"/>
      <c r="E10" s="1"/>
      <c r="F10" s="3"/>
      <c r="G10" s="12"/>
      <c r="H10" s="12"/>
      <c r="I10" s="26"/>
    </row>
    <row r="11" spans="1:12" ht="19.899999999999999" customHeight="1" x14ac:dyDescent="0.2">
      <c r="A11" s="11"/>
      <c r="B11" s="12"/>
      <c r="C11" s="12"/>
      <c r="D11" s="12"/>
      <c r="E11" s="1"/>
      <c r="F11" s="1"/>
      <c r="G11" s="12"/>
      <c r="H11" s="12"/>
      <c r="I11" s="26"/>
    </row>
    <row r="12" spans="1:12" ht="19.899999999999999" customHeight="1" x14ac:dyDescent="0.2">
      <c r="A12" s="11"/>
      <c r="B12" s="12"/>
      <c r="C12" s="12"/>
      <c r="D12" s="12"/>
      <c r="E12" s="1"/>
      <c r="F12" s="1"/>
      <c r="G12" s="12"/>
      <c r="H12" s="12"/>
      <c r="I12" s="26"/>
    </row>
    <row r="13" spans="1:12" ht="19.899999999999999" customHeight="1" x14ac:dyDescent="0.2">
      <c r="A13" s="11" t="s">
        <v>24</v>
      </c>
      <c r="B13" s="12"/>
      <c r="C13" s="12" t="s">
        <v>25</v>
      </c>
      <c r="D13" s="12"/>
      <c r="E13" s="1" t="s">
        <v>26</v>
      </c>
      <c r="F13" s="1" t="s">
        <v>27</v>
      </c>
      <c r="G13" s="12" t="s">
        <v>28</v>
      </c>
      <c r="H13" s="12"/>
      <c r="I13" s="6" t="s">
        <v>21</v>
      </c>
    </row>
    <row r="14" spans="1:12" ht="19.899999999999999" customHeight="1" x14ac:dyDescent="0.2">
      <c r="A14" s="11"/>
      <c r="B14" s="12"/>
      <c r="C14" s="12" t="s">
        <v>29</v>
      </c>
      <c r="D14" s="12"/>
      <c r="E14" s="1" t="s">
        <v>30</v>
      </c>
      <c r="F14" s="1"/>
      <c r="G14" s="12">
        <f>250*F14</f>
        <v>0</v>
      </c>
      <c r="H14" s="12"/>
      <c r="I14" s="26">
        <f>SUM(G14:H23)</f>
        <v>3600</v>
      </c>
    </row>
    <row r="15" spans="1:12" ht="19.899999999999999" customHeight="1" x14ac:dyDescent="0.2">
      <c r="A15" s="11"/>
      <c r="B15" s="12"/>
      <c r="C15" s="12" t="s">
        <v>31</v>
      </c>
      <c r="D15" s="12"/>
      <c r="E15" s="1" t="s">
        <v>32</v>
      </c>
      <c r="F15" s="1"/>
      <c r="G15" s="12">
        <f>80*F15</f>
        <v>0</v>
      </c>
      <c r="H15" s="12"/>
      <c r="I15" s="26"/>
    </row>
    <row r="16" spans="1:12" ht="19.899999999999999" customHeight="1" x14ac:dyDescent="0.2">
      <c r="A16" s="11"/>
      <c r="B16" s="12"/>
      <c r="C16" s="12" t="s">
        <v>33</v>
      </c>
      <c r="D16" s="12"/>
      <c r="E16" s="1" t="s">
        <v>34</v>
      </c>
      <c r="F16" s="1">
        <v>0</v>
      </c>
      <c r="G16" s="12">
        <f>25*F16</f>
        <v>0</v>
      </c>
      <c r="H16" s="12"/>
      <c r="I16" s="26"/>
    </row>
    <row r="17" spans="1:9" ht="19.899999999999999" customHeight="1" x14ac:dyDescent="0.2">
      <c r="A17" s="11"/>
      <c r="B17" s="12"/>
      <c r="C17" s="12" t="s">
        <v>35</v>
      </c>
      <c r="D17" s="12"/>
      <c r="E17" s="1" t="s">
        <v>36</v>
      </c>
      <c r="F17" s="1">
        <v>10</v>
      </c>
      <c r="G17" s="12">
        <v>700</v>
      </c>
      <c r="H17" s="12"/>
      <c r="I17" s="26"/>
    </row>
    <row r="18" spans="1:9" ht="19.899999999999999" customHeight="1" x14ac:dyDescent="0.2">
      <c r="A18" s="11"/>
      <c r="B18" s="12"/>
      <c r="C18" s="12" t="s">
        <v>37</v>
      </c>
      <c r="D18" s="12"/>
      <c r="E18" s="1" t="s">
        <v>36</v>
      </c>
      <c r="F18" s="1">
        <v>20</v>
      </c>
      <c r="G18" s="12">
        <v>1400</v>
      </c>
      <c r="H18" s="12"/>
      <c r="I18" s="26"/>
    </row>
    <row r="19" spans="1:9" ht="19.899999999999999" customHeight="1" x14ac:dyDescent="0.2">
      <c r="A19" s="11"/>
      <c r="B19" s="12"/>
      <c r="C19" s="12" t="s">
        <v>38</v>
      </c>
      <c r="D19" s="12"/>
      <c r="E19" s="1" t="s">
        <v>39</v>
      </c>
      <c r="F19" s="1">
        <v>0</v>
      </c>
      <c r="G19" s="12">
        <f>120*F19</f>
        <v>0</v>
      </c>
      <c r="H19" s="12"/>
      <c r="I19" s="26"/>
    </row>
    <row r="20" spans="1:9" ht="19.899999999999999" customHeight="1" x14ac:dyDescent="0.2">
      <c r="A20" s="11"/>
      <c r="B20" s="12"/>
      <c r="C20" s="12" t="s">
        <v>40</v>
      </c>
      <c r="D20" s="12"/>
      <c r="E20" s="1" t="s">
        <v>41</v>
      </c>
      <c r="F20" s="1">
        <v>10</v>
      </c>
      <c r="G20" s="12">
        <v>600</v>
      </c>
      <c r="H20" s="12"/>
      <c r="I20" s="26"/>
    </row>
    <row r="21" spans="1:9" ht="19.899999999999999" customHeight="1" x14ac:dyDescent="0.2">
      <c r="A21" s="11"/>
      <c r="B21" s="12"/>
      <c r="C21" s="12" t="s">
        <v>42</v>
      </c>
      <c r="D21" s="12"/>
      <c r="E21" s="1" t="s">
        <v>43</v>
      </c>
      <c r="F21" s="1"/>
      <c r="G21" s="12">
        <f>100*F21</f>
        <v>0</v>
      </c>
      <c r="H21" s="12"/>
      <c r="I21" s="26"/>
    </row>
    <row r="22" spans="1:9" ht="19.899999999999999" customHeight="1" x14ac:dyDescent="0.2">
      <c r="A22" s="11"/>
      <c r="B22" s="12"/>
      <c r="C22" s="12" t="s">
        <v>44</v>
      </c>
      <c r="D22" s="12"/>
      <c r="E22" s="1" t="s">
        <v>30</v>
      </c>
      <c r="F22" s="1">
        <v>20</v>
      </c>
      <c r="G22" s="12">
        <v>700</v>
      </c>
      <c r="H22" s="12"/>
      <c r="I22" s="26"/>
    </row>
    <row r="23" spans="1:9" ht="19.899999999999999" customHeight="1" x14ac:dyDescent="0.2">
      <c r="A23" s="11"/>
      <c r="B23" s="12"/>
      <c r="C23" s="12" t="s">
        <v>45</v>
      </c>
      <c r="D23" s="12"/>
      <c r="E23" s="1" t="s">
        <v>46</v>
      </c>
      <c r="F23" s="1">
        <v>5</v>
      </c>
      <c r="G23" s="12">
        <v>200</v>
      </c>
      <c r="H23" s="12"/>
      <c r="I23" s="26"/>
    </row>
    <row r="24" spans="1:9" ht="19.899999999999999" customHeight="1" x14ac:dyDescent="0.2">
      <c r="A24" s="30" t="s">
        <v>47</v>
      </c>
      <c r="B24" s="31"/>
      <c r="C24" s="31"/>
      <c r="D24" s="31"/>
      <c r="E24" s="32"/>
      <c r="F24" s="1" t="s">
        <v>48</v>
      </c>
      <c r="G24" s="33">
        <v>300</v>
      </c>
      <c r="H24" s="33"/>
      <c r="I24" s="34"/>
    </row>
    <row r="25" spans="1:9" ht="19.899999999999999" customHeight="1" x14ac:dyDescent="0.2">
      <c r="A25" s="11" t="s">
        <v>49</v>
      </c>
      <c r="B25" s="12"/>
      <c r="C25" s="12" t="s">
        <v>50</v>
      </c>
      <c r="D25" s="12"/>
      <c r="E25" s="35"/>
      <c r="F25" s="4" t="s">
        <v>51</v>
      </c>
      <c r="G25" s="12">
        <v>500</v>
      </c>
      <c r="H25" s="12"/>
      <c r="I25" s="26"/>
    </row>
    <row r="26" spans="1:9" ht="27" customHeight="1" x14ac:dyDescent="0.2">
      <c r="A26" s="11" t="s">
        <v>52</v>
      </c>
      <c r="B26" s="12"/>
      <c r="C26" s="12">
        <v>1</v>
      </c>
      <c r="D26" s="12"/>
      <c r="E26" s="12" t="s">
        <v>53</v>
      </c>
      <c r="F26" s="12"/>
      <c r="G26" s="27">
        <f>G25+G24+I14+I8+D24</f>
        <v>4900</v>
      </c>
      <c r="H26" s="36"/>
      <c r="I26" s="37"/>
    </row>
    <row r="27" spans="1:9" ht="24.6" customHeight="1" x14ac:dyDescent="0.2">
      <c r="A27" s="38" t="s">
        <v>54</v>
      </c>
      <c r="B27" s="13"/>
      <c r="C27" s="13"/>
      <c r="D27" s="13"/>
      <c r="E27" s="39"/>
      <c r="F27" s="39"/>
      <c r="G27" s="13"/>
      <c r="H27" s="13"/>
      <c r="I27" s="14"/>
    </row>
    <row r="28" spans="1:9" ht="19.899999999999999" customHeight="1" x14ac:dyDescent="0.2">
      <c r="A28" s="40" t="s">
        <v>55</v>
      </c>
      <c r="B28" s="35"/>
      <c r="C28" s="35"/>
      <c r="D28" s="35"/>
      <c r="E28" s="35"/>
      <c r="F28" s="35"/>
      <c r="G28" s="35"/>
      <c r="H28" s="35" t="s">
        <v>56</v>
      </c>
      <c r="I28" s="41"/>
    </row>
    <row r="29" spans="1:9" ht="19.899999999999999" customHeight="1" x14ac:dyDescent="0.2">
      <c r="A29" s="42" t="s">
        <v>57</v>
      </c>
      <c r="B29" s="43"/>
      <c r="C29" s="43"/>
      <c r="D29" s="43"/>
      <c r="E29" s="44"/>
      <c r="F29" s="44"/>
      <c r="G29" s="44"/>
      <c r="H29" s="44"/>
      <c r="I29" s="45"/>
    </row>
    <row r="30" spans="1:9" ht="30" customHeight="1" x14ac:dyDescent="0.2">
      <c r="A30" s="46" t="s">
        <v>16</v>
      </c>
      <c r="B30" s="47"/>
      <c r="C30" s="47"/>
      <c r="D30" s="47"/>
      <c r="E30" s="47"/>
      <c r="F30" s="5" t="s">
        <v>58</v>
      </c>
      <c r="G30" s="47"/>
      <c r="H30" s="47"/>
      <c r="I30" s="48"/>
    </row>
    <row r="31" spans="1:9" ht="24.75" customHeight="1" x14ac:dyDescent="0.2">
      <c r="A31" s="11" t="s">
        <v>59</v>
      </c>
      <c r="B31" s="12"/>
      <c r="C31" s="12"/>
      <c r="D31" s="12"/>
      <c r="E31" s="12"/>
      <c r="F31" s="1" t="s">
        <v>60</v>
      </c>
      <c r="G31" s="12"/>
      <c r="H31" s="12"/>
      <c r="I31" s="26"/>
    </row>
    <row r="32" spans="1:9" ht="24.75" customHeight="1" x14ac:dyDescent="0.2">
      <c r="A32" s="11"/>
      <c r="B32" s="12"/>
      <c r="C32" s="12"/>
      <c r="D32" s="12"/>
      <c r="E32" s="12"/>
      <c r="F32" s="1" t="s">
        <v>61</v>
      </c>
      <c r="G32" s="12"/>
      <c r="H32" s="12"/>
      <c r="I32" s="26"/>
    </row>
    <row r="33" spans="1:9" ht="19.899999999999999" customHeight="1" x14ac:dyDescent="0.2">
      <c r="A33" s="11"/>
      <c r="B33" s="12"/>
      <c r="C33" s="49" t="s">
        <v>62</v>
      </c>
      <c r="D33" s="49"/>
      <c r="E33" s="49"/>
      <c r="F33" s="49"/>
      <c r="G33" s="49"/>
      <c r="H33" s="49"/>
      <c r="I33" s="50"/>
    </row>
    <row r="34" spans="1:9" ht="19.899999999999999" customHeight="1" x14ac:dyDescent="0.2">
      <c r="A34" s="11" t="s">
        <v>63</v>
      </c>
      <c r="B34" s="12"/>
      <c r="C34" s="12"/>
      <c r="D34" s="12" t="s">
        <v>64</v>
      </c>
      <c r="E34" s="12"/>
      <c r="F34" s="12"/>
      <c r="G34" s="12" t="s">
        <v>65</v>
      </c>
      <c r="H34" s="12"/>
      <c r="I34" s="26"/>
    </row>
    <row r="35" spans="1:9" ht="30" customHeight="1" x14ac:dyDescent="0.2">
      <c r="A35" s="51"/>
      <c r="B35" s="52"/>
      <c r="C35" s="52"/>
      <c r="D35" s="52"/>
      <c r="E35" s="52"/>
      <c r="F35" s="52"/>
      <c r="G35" s="52"/>
      <c r="H35" s="52"/>
      <c r="I35" s="53"/>
    </row>
  </sheetData>
  <mergeCells count="79">
    <mergeCell ref="A35:C35"/>
    <mergeCell ref="D35:F35"/>
    <mergeCell ref="G35:I35"/>
    <mergeCell ref="I8:I12"/>
    <mergeCell ref="I14:I23"/>
    <mergeCell ref="A7:B12"/>
    <mergeCell ref="A13:B23"/>
    <mergeCell ref="A31:B33"/>
    <mergeCell ref="C31:E32"/>
    <mergeCell ref="G31:I31"/>
    <mergeCell ref="G32:I32"/>
    <mergeCell ref="C33:I33"/>
    <mergeCell ref="A34:C34"/>
    <mergeCell ref="D34:F34"/>
    <mergeCell ref="G34:I34"/>
    <mergeCell ref="A28:D28"/>
    <mergeCell ref="E28:G28"/>
    <mergeCell ref="H28:I28"/>
    <mergeCell ref="A29:I29"/>
    <mergeCell ref="A30:B30"/>
    <mergeCell ref="C30:E30"/>
    <mergeCell ref="G30:I30"/>
    <mergeCell ref="A26:B26"/>
    <mergeCell ref="C26:D26"/>
    <mergeCell ref="E26:F26"/>
    <mergeCell ref="G26:I26"/>
    <mergeCell ref="A27:I27"/>
    <mergeCell ref="A24:E24"/>
    <mergeCell ref="G24:I24"/>
    <mergeCell ref="A25:B25"/>
    <mergeCell ref="C25:E25"/>
    <mergeCell ref="G25:I25"/>
    <mergeCell ref="C21:D21"/>
    <mergeCell ref="G21:H21"/>
    <mergeCell ref="C22:D22"/>
    <mergeCell ref="G22:H22"/>
    <mergeCell ref="C23:D23"/>
    <mergeCell ref="G23:H23"/>
    <mergeCell ref="C18:D18"/>
    <mergeCell ref="G18:H18"/>
    <mergeCell ref="C19:D19"/>
    <mergeCell ref="G19:H19"/>
    <mergeCell ref="C20:D20"/>
    <mergeCell ref="G20:H20"/>
    <mergeCell ref="C15:D15"/>
    <mergeCell ref="G15:H15"/>
    <mergeCell ref="C16:D16"/>
    <mergeCell ref="G16:H16"/>
    <mergeCell ref="C17:D17"/>
    <mergeCell ref="G17:H17"/>
    <mergeCell ref="C12:D12"/>
    <mergeCell ref="G12:H12"/>
    <mergeCell ref="C13:D13"/>
    <mergeCell ref="G13:H13"/>
    <mergeCell ref="C14:D14"/>
    <mergeCell ref="G14:H14"/>
    <mergeCell ref="C9:D9"/>
    <mergeCell ref="G9:H9"/>
    <mergeCell ref="C10:D10"/>
    <mergeCell ref="G10:H10"/>
    <mergeCell ref="C11:D11"/>
    <mergeCell ref="G11:H11"/>
    <mergeCell ref="A6:I6"/>
    <mergeCell ref="C7:D7"/>
    <mergeCell ref="G7:H7"/>
    <mergeCell ref="C8:D8"/>
    <mergeCell ref="G8:H8"/>
    <mergeCell ref="A4:B4"/>
    <mergeCell ref="C4:E4"/>
    <mergeCell ref="G4:I4"/>
    <mergeCell ref="A5:B5"/>
    <mergeCell ref="C5:E5"/>
    <mergeCell ref="G5:I5"/>
    <mergeCell ref="A1:I1"/>
    <mergeCell ref="A2:B2"/>
    <mergeCell ref="C2:I2"/>
    <mergeCell ref="A3:B3"/>
    <mergeCell ref="C3:E3"/>
    <mergeCell ref="G3:I3"/>
  </mergeCells>
  <pageMargins left="0.55118110236220497" right="0.55118110236220497" top="0.59055118110236204" bottom="0.39370078740157499" header="0" footer="0"/>
  <pageSetup paperSize="9" scale="98" orientation="portrait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改模报价</vt:lpstr>
      <vt:lpstr>改模报价!Print_Area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2024-03-02T09:12:00Z</cp:lastPrinted>
  <dcterms:created xsi:type="dcterms:W3CDTF">2016-09-27T06:13:00Z</dcterms:created>
  <dcterms:modified xsi:type="dcterms:W3CDTF">2025-12-03T07:13:35Z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2052-11.8.2.12118</vt:lpwstr>
  </property>
  <property fmtid="{D5CDD505-2E9C-101B-9397-08002B2CF9AE}" pid="3" name="ICV">
    <vt:lpwstr>5E684269CF394952884D57289FF99255_13</vt:lpwstr>
  </property>
  <property fmtid="{D5CDD505-2E9C-101B-9397-08002B2CF9AE}" pid="4" name="_IPGFID">
    <vt:lpwstr>[DocID]=99A201E3-C2AE-498D-BC54-6396D96D4091</vt:lpwstr>
  </property>
  <property fmtid="{D5CDD505-2E9C-101B-9397-08002B2CF9AE}" pid="5" name="_IPGFLOW_P-868E_E-1_FP-1_SP-1_CV-128A0E44_CN-B0C58EBD">
    <vt:lpwstr>sd3fsa6O09HlLjOaCOiUBg6OLsybOmLOyOoYsZseGN5xaC97thmY/EhIIyOMl9EjP1wS26oxmX3Tp3916ZSr/5chVM0v7RlzJATAkh6kDV9AYSVMLJwlzC8FD7Y8Rp04trihHSLKXUxYElpcCVx9ifyXxyIYfdztXVK19zBxYP4+3OecPWGHeLyk/O0bcG3Y9m5XRa6LD/Yf2Vep6L2wvN66vZy81bqKvPxxNG2cwEw2v5WA7B3CPJWis2zyrbn</vt:lpwstr>
  </property>
  <property fmtid="{D5CDD505-2E9C-101B-9397-08002B2CF9AE}" pid="6" name="_IPGFLOW_P-868E_E-1_FP-1_SP-2_CV-7280BCB9_CN-CDBD94E3">
    <vt:lpwstr>3nj12AkrGyeBxVuD5WhqhP/bTcwJ3HJpQsS/9FFidFj65Oo2zMmrHCXahLYGQqrtmoyItfHVah6ji81QyhuLTK8JgnOT/65BRJQLJKEb5VXyS1whmw8KuAtvDonLGt5TAo4f62Y2CJsYM1BjCRoQAK9rmrzIzTN7bUNsT50c6vaWFOB/XibN3RBiUOQzbrLMn1Tbr06cXt5LdDivq0A4+cfDXCRp+yQ6F0j4q/avM+A9SyCJJpK4Icm6vEMb8Ic</vt:lpwstr>
  </property>
  <property fmtid="{D5CDD505-2E9C-101B-9397-08002B2CF9AE}" pid="7" name="_IPGFLOW_P-868E_E-1_FP-1_SP-3_CV-87A1E046_CN-A8C42885">
    <vt:lpwstr>dTTdeeR9FswmznPLoVUIVsEw==</vt:lpwstr>
  </property>
  <property fmtid="{D5CDD505-2E9C-101B-9397-08002B2CF9AE}" pid="8" name="_IPGFLOW_P-868E_E-0_FP-1_CV-655D092D_CN-D7F3BB4">
    <vt:lpwstr>DPSPMK|3|536|3|0</vt:lpwstr>
  </property>
  <property fmtid="{D5CDD505-2E9C-101B-9397-08002B2CF9AE}" pid="9" name="_IPGFLOW_P-868E_E-1_FP-2_SP-1_CV-3B6838E6_CN-AC701A31">
    <vt:lpwstr>mlfLsGiJ5XQyCmo37AKV6Nqh6znC+JxsTLNbKXquRHkCM5H4iwojepI9WfRIghWncd4Cd3a6dIfvaE1nDsPspG8tjxBpg0nf3V0lwAb3k9K74He7kJjcMWsUIwyVKpEHQWvaU9bT2WnY8yViBfz3DJoQqq/InLZno/wdCtkl2qv9Jx7me+xAnY3R1ir0+8sPr959WQr7UkrJBr8X0BL6fmJslVAGLf24Msb6eoRqBc68EEb9NBxeDZ6pKSYkQXw</vt:lpwstr>
  </property>
  <property fmtid="{D5CDD505-2E9C-101B-9397-08002B2CF9AE}" pid="10" name="_IPGFLOW_P-868E_E-1_FP-2_SP-2_CV-D8262A60_CN-D57B26DE">
    <vt:lpwstr>wJnLV5xUtbHprw/XVUVp78JJHti9H9nPzWpauYnOZJbSh661I0NPPp0zVDlTsSOEvX5CHKHrqSE9eawxfJKvlZkaHafhY4F/wLK9OyrrpHqYRmgNxyo57B828E1UPldFV2wwiN9QTxOLldAn3zz7JlM/S48QqIuKi+rKRLekeV/fPAFBgO5inOVYh1cY9SsGUHJxT3/orClX25ncCQZcLESyVJZ9l+ueZKw1YwNDMRkXFTYglSYFbSTPGLgM9pn</vt:lpwstr>
  </property>
  <property fmtid="{D5CDD505-2E9C-101B-9397-08002B2CF9AE}" pid="11" name="_IPGFLOW_P-868E_E-1_FP-2_SP-3_CV-9D2E4AEB_CN-35703EA3">
    <vt:lpwstr>3L7P93DRpDoBhU7Y+RM0Mme7KQhyeeWPqF8MhBAfyznA6ikN9kuwhKW/KuNMXF86K3mY6a9dqrY8mEcjmx+kB02Q==</vt:lpwstr>
  </property>
  <property fmtid="{D5CDD505-2E9C-101B-9397-08002B2CF9AE}" pid="12" name="_IPGFLOW_P-868E_E-0_FP-2_CV-5D6194BE_CN-EE6B03AE">
    <vt:lpwstr>DPSPMK|3|600|3|0</vt:lpwstr>
  </property>
  <property fmtid="{D5CDD505-2E9C-101B-9397-08002B2CF9AE}" pid="13" name="_WMTAG">
    <vt:lpwstr>wmexist=0</vt:lpwstr>
  </property>
  <property fmtid="{D5CDD505-2E9C-101B-9397-08002B2CF9AE}" pid="14" name="_IPGFLOW_P-868E_E-0_CV-8BD6D882_CN-304F9273">
    <vt:lpwstr>DPFPMK|3|50|3|0</vt:lpwstr>
  </property>
  <property fmtid="{D5CDD505-2E9C-101B-9397-08002B2CF9AE}" pid="15" name="_IPGFLOW_P-868E_E-1_FP-3_SP-1_CV-6996C56E_CN-53213AD">
    <vt:lpwstr>mlfLsGiJ5XQyCmo37AKV6KHX0bNaNV/Rt1B726Li0fFnZ13KjLAXwIjwTnFB6MD+F69tFgZtiEl3dx9qT9L/ra45gfAQUhzwojxZc2j6AeDkNqJf1E9qKWkHsCbuhzI43IPqCoC8zPMpWj8hqqN6wUiGLJTxF3yxImYAVjWul8tlKBNwHEHaL1/LAEn2sSRe0jT+t9h1w1czk9fDwtCyi/nuAepHuRlXDuthQ9PskErtS8K6eDWjVs0hWTIc5su</vt:lpwstr>
  </property>
  <property fmtid="{D5CDD505-2E9C-101B-9397-08002B2CF9AE}" pid="16" name="_IPGFLOW_P-868E_E-1_FP-3_SP-2_CV-4650DDC8_CN-400F87C0">
    <vt:lpwstr>cnzf2FdLcuEZIA9ZNFrq0u6kxCrfNJr+xmK+pYFJZdOg2pTyqe1SoDHOifv8Aw83z1v73oY5u10+dFQBdskNTei4kxRLApLPNE21gAQ219JLkUScKO2JUkxx4al6C8zGF8EnaQ4chP+2fz+Qd3TXOuPzuVP9CJw/T/OxY3lJrYgqM/EWnXjwJ5hHBqfnOuQko7PrxTwkL6mHJ77AtwwwEwKJa6NaPzYoHTdH3sRGFx6Lp7oZPOEXmYQ2YhN5IBz</vt:lpwstr>
  </property>
  <property fmtid="{D5CDD505-2E9C-101B-9397-08002B2CF9AE}" pid="17" name="_IPGFLOW_P-868E_E-1_FP-3_SP-3_CV-4FF02642_CN-65CDB450">
    <vt:lpwstr>kbYu7p76E5CoHQYyUnZLjYp1rgziG4XAorRwUQSrskO3w=</vt:lpwstr>
  </property>
  <property fmtid="{D5CDD505-2E9C-101B-9397-08002B2CF9AE}" pid="18" name="_IPGFLOW_P-868E_E-0_FP-3_CV-B304EA30_CN-C786B8F1">
    <vt:lpwstr>DPSPMK|3|556|3|0</vt:lpwstr>
  </property>
</Properties>
</file>